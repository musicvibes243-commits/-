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дложение" sheetId="1" state="visible" r:id="rId1"/>
  </sheets>
  <definedNames>
    <definedName name="_xlnm.Print_Area" localSheetId="0">'Предложение'!$A$1:$F$43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13">
    <font>
      <name val="Calibri"/>
      <family val="2"/>
      <color theme="1"/>
      <sz val="11"/>
      <scheme val="minor"/>
    </font>
    <font>
      <b val="1"/>
      <color rgb="FF23303A"/>
      <sz val="18"/>
    </font>
    <font>
      <color rgb="FF7A8792"/>
      <sz val="9"/>
    </font>
    <font>
      <b val="1"/>
      <color rgb="FFC97A09"/>
      <sz val="9"/>
    </font>
    <font>
      <color rgb="FF7A8792"/>
      <sz val="8"/>
    </font>
    <font>
      <color rgb="FF23303A"/>
      <sz val="10"/>
    </font>
    <font>
      <b val="1"/>
      <color rgb="FF23303A"/>
      <sz val="15"/>
    </font>
    <font>
      <color rgb="FF23303A"/>
      <sz val="9"/>
    </font>
    <font>
      <b val="1"/>
      <color rgb="FFFFFFFF"/>
      <sz val="9"/>
    </font>
    <font>
      <b val="1"/>
      <color rgb="FF23303A"/>
      <sz val="13"/>
    </font>
    <font>
      <b val="1"/>
      <color rgb="FF23303A"/>
      <sz val="10"/>
    </font>
    <font>
      <color rgb="FF23303A"/>
      <sz val="10"/>
      <u val="single"/>
    </font>
    <font>
      <color rgb="FFB00020"/>
      <sz val="9"/>
    </font>
  </fonts>
  <fills count="3">
    <fill>
      <patternFill/>
    </fill>
    <fill>
      <patternFill patternType="gray125"/>
    </fill>
    <fill>
      <patternFill patternType="solid">
        <fgColor rgb="FFC97A09"/>
      </patternFill>
    </fill>
  </fills>
  <borders count="5">
    <border>
      <left/>
      <right/>
      <top/>
      <bottom/>
      <diagonal/>
    </border>
    <border>
      <bottom style="dotted">
        <color rgb="FFD8D2C7"/>
      </bottom>
    </border>
    <border>
      <left style="thin">
        <color rgb="FFECE7DE"/>
      </left>
      <right style="thin">
        <color rgb="FFECE7DE"/>
      </right>
      <top style="thin">
        <color rgb="FFECE7DE"/>
      </top>
      <bottom style="thin">
        <color rgb="FFECE7DE"/>
      </bottom>
    </border>
    <border>
      <top style="medium">
        <color rgb="FF23303A"/>
      </top>
    </border>
    <border>
      <top style="thin">
        <color rgb="FF23303A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0" fontId="9" fillId="0" borderId="3" applyAlignment="1" pivotButton="0" quotePrefix="0" xfId="0">
      <alignment horizontal="right"/>
    </xf>
    <xf numFmtId="164" fontId="9" fillId="0" borderId="3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9" customWidth="1" min="3" max="3"/>
    <col width="10" customWidth="1" min="4" max="4"/>
    <col width="14" customWidth="1" min="5" max="5"/>
    <col width="16" customWidth="1" min="6" max="6"/>
    <col width="60" customWidth="1" min="8" max="8"/>
  </cols>
  <sheetData>
    <row r="1" ht="24" customHeight="1">
      <c r="A1" s="1" t="inlineStr">
        <is>
          <t>СтройИнвест</t>
        </is>
      </c>
    </row>
    <row r="2">
      <c r="A2" s="2" t="inlineStr">
        <is>
          <t>Инженерные системы дома и участка: септики, водоснабжение, отопление, электрика, дренаж</t>
        </is>
      </c>
    </row>
    <row r="3">
      <c r="A3" s="2" t="inlineStr">
        <is>
          <t>ООО «ИнженерИнвест» · ИНН 2100032923 · ОГРН 1262100002878</t>
        </is>
      </c>
    </row>
    <row r="4">
      <c r="A4" s="2" t="inlineStr">
        <is>
          <t>+7 (915) 346-97-28 · stroyinvest-mo.ru</t>
        </is>
      </c>
    </row>
    <row r="6">
      <c r="A6" s="3" t="inlineStr">
        <is>
          <t>РЕКВИЗИТЫ ДЛЯ ОПЛАТЫ</t>
        </is>
      </c>
    </row>
    <row r="7">
      <c r="A7" s="4" t="inlineStr">
        <is>
          <t>Банк</t>
        </is>
      </c>
      <c r="B7" s="5" t="n"/>
      <c r="D7" s="4" t="inlineStr">
        <is>
          <t>БИК</t>
        </is>
      </c>
      <c r="E7" s="5" t="n"/>
    </row>
    <row r="8">
      <c r="A8" s="4" t="inlineStr">
        <is>
          <t>Кор. счёт</t>
        </is>
      </c>
      <c r="B8" s="5" t="n"/>
      <c r="D8" s="4" t="inlineStr">
        <is>
          <t>Расч. счёт</t>
        </is>
      </c>
      <c r="E8" s="5" t="n"/>
    </row>
    <row r="9">
      <c r="A9" s="4" t="inlineStr">
        <is>
          <t>Получатель</t>
        </is>
      </c>
      <c r="B9" s="5" t="inlineStr">
        <is>
          <t>ООО «ИнженерИнвест»</t>
        </is>
      </c>
      <c r="D9" s="4" t="inlineStr">
        <is>
          <t>ИНН / ОГРН</t>
        </is>
      </c>
      <c r="E9" s="5" t="inlineStr">
        <is>
          <t>2100032923 / 1262100002878</t>
        </is>
      </c>
    </row>
    <row r="11" ht="22" customHeight="1">
      <c r="A11" s="6" t="inlineStr">
        <is>
          <t>КОММЕРЧЕСКОЕ ПРЕДЛОЖЕНИЕ</t>
        </is>
      </c>
    </row>
    <row r="12">
      <c r="A12" s="4" t="inlineStr">
        <is>
          <t>Номер</t>
        </is>
      </c>
      <c r="B12" s="5" t="n"/>
    </row>
    <row r="13">
      <c r="A13" s="4" t="inlineStr">
        <is>
          <t>Дата</t>
        </is>
      </c>
      <c r="B13" s="5" t="n"/>
    </row>
    <row r="14">
      <c r="A14" s="4" t="inlineStr">
        <is>
          <t>Заказчик</t>
        </is>
      </c>
      <c r="B14" s="5" t="inlineStr">
        <is>
          <t>Частное лицо</t>
        </is>
      </c>
    </row>
    <row r="15">
      <c r="A15" s="4" t="inlineStr">
        <is>
          <t>Объект</t>
        </is>
      </c>
      <c r="B15" s="5" t="n"/>
    </row>
    <row r="16">
      <c r="A16" s="4" t="inlineStr">
        <is>
          <t>Основание</t>
        </is>
      </c>
      <c r="B16" s="5" t="inlineStr">
        <is>
          <t>Запрос коммерческого предложения</t>
        </is>
      </c>
    </row>
    <row r="18">
      <c r="A18" s="7" t="inlineStr">
        <is>
          <t>Исполнитель: Общество с ограниченной ответственностью «ИнженерИнвест», ИНН 2100032923, ОГРН 1262100002878, адрес: 429951, Чувашская Республика, г. Новочебоксарск, ул. Комсомольская, д. 14, кв. 14. Работы выполняются по Москве и Московской области.</t>
        </is>
      </c>
    </row>
    <row r="19"/>
    <row r="21" ht="26" customHeight="1">
      <c r="A21" s="8" t="inlineStr">
        <is>
          <t>№</t>
        </is>
      </c>
      <c r="B21" s="8" t="inlineStr">
        <is>
          <t>Наименование</t>
        </is>
      </c>
      <c r="C21" s="8" t="inlineStr">
        <is>
          <t>Кол-во</t>
        </is>
      </c>
      <c r="D21" s="8" t="inlineStr">
        <is>
          <t>Ед.</t>
        </is>
      </c>
      <c r="E21" s="8" t="inlineStr">
        <is>
          <t>Цена, ₽</t>
        </is>
      </c>
      <c r="F21" s="8" t="inlineStr">
        <is>
          <t>Сумма, ₽</t>
        </is>
      </c>
    </row>
    <row r="22" ht="19" customHeight="1">
      <c r="A22" s="9" t="n">
        <v>1</v>
      </c>
      <c r="B22" s="10" t="inlineStr">
        <is>
          <t>Котёл</t>
        </is>
      </c>
      <c r="C22" s="9" t="n">
        <v>1</v>
      </c>
      <c r="D22" s="9" t="inlineStr">
        <is>
          <t>шт</t>
        </is>
      </c>
      <c r="E22" s="11" t="n">
        <v>49950</v>
      </c>
      <c r="F22" s="11">
        <f>IF(OR(C22="",E22=""),"",C22*E22)</f>
        <v>49950</v>
      </c>
    </row>
    <row r="23" ht="19" customHeight="1">
      <c r="A23" s="9" t="n">
        <v>2</v>
      </c>
      <c r="B23" s="10" t="inlineStr">
        <is>
          <t>Монтаж</t>
        </is>
      </c>
      <c r="C23" s="9" t="n">
        <v>1</v>
      </c>
      <c r="D23" s="9" t="inlineStr">
        <is>
          <t>усл.</t>
        </is>
      </c>
      <c r="E23" s="11" t="n">
        <v>49000</v>
      </c>
      <c r="F23" s="11">
        <f>IF(OR(C23="",E23=""),"",C23*E23)</f>
        <v>49000</v>
      </c>
    </row>
    <row r="24" ht="19" customHeight="1">
      <c r="A24" s="9" t="n">
        <v>3</v>
      </c>
      <c r="B24" s="10" t="inlineStr">
        <is>
          <t>Расходный материал для котла</t>
        </is>
      </c>
      <c r="C24" s="9" t="n">
        <v>1</v>
      </c>
      <c r="D24" s="9" t="inlineStr">
        <is>
          <t>компл.</t>
        </is>
      </c>
      <c r="E24" s="11" t="n">
        <v>13000</v>
      </c>
      <c r="F24" s="11">
        <f>IF(OR(C24="",E24=""),"",C24*E24)</f>
        <v>13000</v>
      </c>
    </row>
    <row r="25" ht="19" customHeight="1">
      <c r="A25" s="9" t="n">
        <v>4</v>
      </c>
      <c r="B25" s="10" t="inlineStr">
        <is>
          <t>Отверстия</t>
        </is>
      </c>
      <c r="C25" s="9" t="n">
        <v>2</v>
      </c>
      <c r="D25" s="9" t="inlineStr">
        <is>
          <t>шт</t>
        </is>
      </c>
      <c r="E25" s="11" t="n">
        <v>9500</v>
      </c>
      <c r="F25" s="11">
        <f>IF(OR(C25="",E25=""),"",C25*E25)</f>
        <v>19000</v>
      </c>
    </row>
    <row r="26" ht="19" customHeight="1">
      <c r="A26" s="9" t="n">
        <v>5</v>
      </c>
      <c r="B26" s="10" t="inlineStr">
        <is>
          <t>Монтаж воздуховодов</t>
        </is>
      </c>
      <c r="C26" s="9" t="n">
        <v>1</v>
      </c>
      <c r="D26" s="9" t="inlineStr">
        <is>
          <t>усл.</t>
        </is>
      </c>
      <c r="E26" s="11" t="n">
        <v>16000</v>
      </c>
      <c r="F26" s="11">
        <f>IF(OR(C26="",E26=""),"",C26*E26)</f>
        <v>16000</v>
      </c>
    </row>
    <row r="27" ht="19" customHeight="1">
      <c r="A27" s="9" t="n">
        <v>6</v>
      </c>
      <c r="B27" s="10" t="inlineStr">
        <is>
          <t>Материал</t>
        </is>
      </c>
      <c r="C27" s="9" t="n">
        <v>1</v>
      </c>
      <c r="D27" s="9" t="inlineStr">
        <is>
          <t>компл.</t>
        </is>
      </c>
      <c r="E27" s="11" t="n">
        <v>18000</v>
      </c>
      <c r="F27" s="11">
        <f>IF(OR(C27="",E27=""),"",C27*E27)</f>
        <v>18000</v>
      </c>
    </row>
    <row r="28" ht="19" customHeight="1">
      <c r="A28" s="9" t="n">
        <v>7</v>
      </c>
      <c r="B28" s="10" t="inlineStr">
        <is>
          <t>Доставка материала</t>
        </is>
      </c>
      <c r="C28" s="9" t="n">
        <v>1</v>
      </c>
      <c r="D28" s="9" t="inlineStr">
        <is>
          <t>усл.</t>
        </is>
      </c>
      <c r="E28" s="11" t="n">
        <v>7000</v>
      </c>
      <c r="F28" s="11">
        <f>IF(OR(C28="",E28=""),"",C28*E28)</f>
        <v>7000</v>
      </c>
    </row>
    <row r="29" ht="19" customHeight="1">
      <c r="A29" s="9" t="n">
        <v>8</v>
      </c>
      <c r="B29" s="10" t="n"/>
      <c r="C29" s="9" t="n"/>
      <c r="D29" s="9" t="n"/>
      <c r="E29" s="11" t="n"/>
      <c r="F29" s="11" t="str">
        <f>IF(OR(C29="",E29=""),"",C29*E29)</f>
        <v/>
      </c>
    </row>
    <row r="30" ht="19" customHeight="1">
      <c r="A30" s="9" t="n">
        <v>9</v>
      </c>
      <c r="B30" s="10" t="n"/>
      <c r="C30" s="9" t="n"/>
      <c r="D30" s="9" t="n"/>
      <c r="E30" s="11" t="n"/>
      <c r="F30" s="11" t="str">
        <f>IF(OR(C30="",E30=""),"",C30*E30)</f>
        <v/>
      </c>
    </row>
    <row r="31" ht="19" customHeight="1">
      <c r="A31" s="9" t="n">
        <v>10</v>
      </c>
      <c r="B31" s="10" t="n"/>
      <c r="C31" s="9" t="n"/>
      <c r="D31" s="9" t="n"/>
      <c r="E31" s="11" t="n"/>
      <c r="F31" s="11" t="str">
        <f>IF(OR(C31="",E31=""),"",C31*E31)</f>
        <v/>
      </c>
    </row>
    <row r="32" ht="19" customHeight="1">
      <c r="A32" s="9" t="n">
        <v>11</v>
      </c>
      <c r="B32" s="10" t="n"/>
      <c r="C32" s="9" t="n"/>
      <c r="D32" s="9" t="n"/>
      <c r="E32" s="11" t="n"/>
      <c r="F32" s="11" t="str">
        <f>IF(OR(C32="",E32=""),"",C32*E32)</f>
        <v/>
      </c>
    </row>
    <row r="33" ht="19" customHeight="1">
      <c r="A33" s="9" t="n">
        <v>12</v>
      </c>
      <c r="B33" s="10" t="n"/>
      <c r="C33" s="9" t="n"/>
      <c r="D33" s="9" t="n"/>
      <c r="E33" s="11" t="n"/>
      <c r="F33" s="11" t="str">
        <f>IF(OR(C33="",E33=""),"",C33*E33)</f>
        <v/>
      </c>
    </row>
    <row r="34" ht="24" customHeight="1">
      <c r="A34" s="12" t="inlineStr">
        <is>
          <t>ИТОГО</t>
        </is>
      </c>
      <c r="F34" s="13">
        <f>SUM(F22:F33)</f>
        <v>171950</v>
      </c>
    </row>
    <row r="36">
      <c r="A36" s="14" t="str">
        <f>"Всего наименований "&amp;COUNTA(B22:B33)&amp;", на сумму "&amp;TEXT(F34,"#,##0.00")&amp;" ₽"</f>
        <v>Всего наименований 7, на сумму 171 950,00 ₽</v>
      </c>
    </row>
    <row r="37">
      <c r="A37" s="15" t="inlineStr">
        <is>
          <t>Сто семьдесят одна тысяча девятьсот пятьдесят рублей 00 копеек</t>
        </is>
      </c>
      <c r="H37" s="16" t="inlineStr">
        <is>
          <t>⚠ Сумма прописью не пересчитывается сама. Изменили цены — перепишите строку вручную или соберите файл заново: python3 tools/make-kp-xlsx.py. На странице kp.html прописью считается на лету.</t>
        </is>
      </c>
    </row>
    <row r="39">
      <c r="A39" s="2" t="inlineStr">
        <is>
          <t>Предложение действительно 14 дней с даты составления. Окончательная стоимость и сроки фиксируются договором.</t>
        </is>
      </c>
    </row>
    <row r="42">
      <c r="A42" s="17" t="n"/>
      <c r="E42" s="17" t="n"/>
    </row>
    <row r="43">
      <c r="A43" s="2" t="inlineStr">
        <is>
          <t>Руководитель ООО «ИнженерИнвест»</t>
        </is>
      </c>
      <c r="E43" s="2" t="inlineStr">
        <is>
          <t>Составил</t>
        </is>
      </c>
    </row>
  </sheetData>
  <mergeCells count="23">
    <mergeCell ref="A34:E34"/>
    <mergeCell ref="B7:C7"/>
    <mergeCell ref="B16:F16"/>
    <mergeCell ref="A37:F37"/>
    <mergeCell ref="E42:F42"/>
    <mergeCell ref="A3:F3"/>
    <mergeCell ref="E8:F8"/>
    <mergeCell ref="A2:F2"/>
    <mergeCell ref="A42:C42"/>
    <mergeCell ref="B12:F12"/>
    <mergeCell ref="A4:F4"/>
    <mergeCell ref="B14:F14"/>
    <mergeCell ref="E9:F9"/>
    <mergeCell ref="B8:C8"/>
    <mergeCell ref="B13:F13"/>
    <mergeCell ref="B9:C9"/>
    <mergeCell ref="A39:F39"/>
    <mergeCell ref="A11:F11"/>
    <mergeCell ref="A36:F36"/>
    <mergeCell ref="E7:F7"/>
    <mergeCell ref="B15:F15"/>
    <mergeCell ref="A18:F19"/>
    <mergeCell ref="A1:F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2026-10-01T09:33:28Z</dcterms:created>
  <dcterms:modified xsi:type="dcterms:W3CDTF">2026-10-01T09:33:28Z</dcterms:modified>
</cp:coreProperties>
</file>