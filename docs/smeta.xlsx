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>
    <definedName name="_xlnm.Print_Area" localSheetId="0">'Смета'!$A$1:$F$45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10">
    <font>
      <name val="Calibri"/>
      <family val="2"/>
      <color theme="1"/>
      <sz val="11"/>
      <scheme val="minor"/>
    </font>
    <font>
      <b val="1"/>
      <color rgb="FF23303A"/>
      <sz val="18"/>
    </font>
    <font>
      <color rgb="FF7A8792"/>
      <sz val="9"/>
    </font>
    <font>
      <b val="1"/>
      <color rgb="FF7A8792"/>
      <sz val="9"/>
    </font>
    <font>
      <b val="1"/>
      <color rgb="FF23303A"/>
      <sz val="11"/>
    </font>
    <font>
      <color rgb="FF23303A"/>
      <sz val="11"/>
    </font>
    <font>
      <b val="1"/>
      <color rgb="FFFFFFFF"/>
      <sz val="9"/>
    </font>
    <font>
      <b val="1"/>
      <color rgb="FF23303A"/>
      <sz val="13"/>
    </font>
    <font>
      <b val="1"/>
      <color rgb="FFC97A09"/>
      <sz val="9"/>
    </font>
    <font>
      <color rgb="FF23303A"/>
      <sz val="10"/>
    </font>
  </fonts>
  <fills count="3">
    <fill>
      <patternFill/>
    </fill>
    <fill>
      <patternFill patternType="gray125"/>
    </fill>
    <fill>
      <patternFill patternType="solid">
        <fgColor rgb="FFC97A09"/>
      </patternFill>
    </fill>
  </fills>
  <borders count="5">
    <border>
      <left/>
      <right/>
      <top/>
      <bottom/>
      <diagonal/>
    </border>
    <border>
      <bottom style="dotted">
        <color rgb="FFD8D2C7"/>
      </bottom>
    </border>
    <border>
      <left style="thin">
        <color rgb="FFECE7DE"/>
      </left>
      <right style="thin">
        <color rgb="FFECE7DE"/>
      </right>
      <top style="thin">
        <color rgb="FFECE7DE"/>
      </top>
      <bottom style="thin">
        <color rgb="FFECE7DE"/>
      </bottom>
    </border>
    <border>
      <top style="medium">
        <color rgb="FF23303A"/>
      </top>
    </border>
    <border>
      <top style="thin">
        <color rgb="FF23303A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  <xf numFmtId="0" fontId="7" fillId="0" borderId="3" applyAlignment="1" pivotButton="0" quotePrefix="0" xfId="0">
      <alignment horizontal="right"/>
    </xf>
    <xf numFmtId="164" fontId="7" fillId="0" borderId="3" pivotButton="0" quotePrefix="0" xfId="0"/>
    <xf numFmtId="0" fontId="8" fillId="0" borderId="0" pivotButton="0" quotePrefix="0" xfId="0"/>
    <xf numFmtId="0" fontId="9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9" customWidth="1" min="3" max="3"/>
    <col width="10" customWidth="1" min="4" max="4"/>
    <col width="14" customWidth="1" min="5" max="5"/>
    <col width="16" customWidth="1" min="6" max="6"/>
  </cols>
  <sheetData>
    <row r="1" ht="24" customHeight="1">
      <c r="A1" s="1" t="inlineStr">
        <is>
          <t>СтройИнвест</t>
        </is>
      </c>
    </row>
    <row r="2">
      <c r="A2" s="2" t="inlineStr">
        <is>
          <t>Инженерные системы дома и участка: септики, водоснабжение, отопление, электрика, дренаж</t>
        </is>
      </c>
    </row>
    <row r="3">
      <c r="A3" s="2" t="inlineStr">
        <is>
          <t>ООО «ИнженерИнвест» · ИНН 2100032923 · ОГРН 1262100002878</t>
        </is>
      </c>
    </row>
    <row r="4">
      <c r="A4" s="2" t="inlineStr">
        <is>
          <t>+7 (915) 346-97-28 · stroyinvest-mo.ru</t>
        </is>
      </c>
    </row>
    <row r="6">
      <c r="A6" s="3" t="inlineStr">
        <is>
          <t>СМЕТА №</t>
        </is>
      </c>
      <c r="B6" s="4" t="inlineStr"/>
    </row>
    <row r="7">
      <c r="A7" s="2" t="inlineStr">
        <is>
          <t>Дата</t>
        </is>
      </c>
      <c r="B7" s="5" t="inlineStr"/>
    </row>
    <row r="8">
      <c r="A8" s="2" t="inlineStr">
        <is>
          <t>Заказчик</t>
        </is>
      </c>
      <c r="B8" s="5" t="inlineStr"/>
    </row>
    <row r="9">
      <c r="A9" s="2" t="inlineStr">
        <is>
          <t>Телефон</t>
        </is>
      </c>
      <c r="B9" s="5" t="inlineStr"/>
    </row>
    <row r="10">
      <c r="A10" s="2" t="inlineStr">
        <is>
          <t>Адрес объекта</t>
        </is>
      </c>
      <c r="B10" s="5" t="inlineStr"/>
    </row>
    <row r="11">
      <c r="A11" s="2" t="inlineStr">
        <is>
          <t>Объект</t>
        </is>
      </c>
      <c r="B11" s="5" t="inlineStr"/>
    </row>
    <row r="13" ht="26" customHeight="1">
      <c r="A13" s="6" t="inlineStr">
        <is>
          <t>№</t>
        </is>
      </c>
      <c r="B13" s="6" t="inlineStr">
        <is>
          <t>Наименование работ, материалов</t>
        </is>
      </c>
      <c r="C13" s="6" t="inlineStr">
        <is>
          <t>Кол-во</t>
        </is>
      </c>
      <c r="D13" s="6" t="inlineStr">
        <is>
          <t>Ед.</t>
        </is>
      </c>
      <c r="E13" s="6" t="inlineStr">
        <is>
          <t>Цена, ₽</t>
        </is>
      </c>
      <c r="F13" s="6" t="inlineStr">
        <is>
          <t>Сумма, ₽</t>
        </is>
      </c>
    </row>
    <row r="14" ht="19" customHeight="1">
      <c r="A14" s="7" t="n">
        <v>1</v>
      </c>
      <c r="B14" s="8" t="inlineStr">
        <is>
          <t>Котёл</t>
        </is>
      </c>
      <c r="C14" s="7" t="n">
        <v>1</v>
      </c>
      <c r="D14" s="7" t="inlineStr">
        <is>
          <t>шт</t>
        </is>
      </c>
      <c r="E14" s="9" t="n">
        <v>49950</v>
      </c>
      <c r="F14" s="9">
        <f>IF(OR(C14="",E14=""),"",C14*E14)</f>
        <v/>
      </c>
    </row>
    <row r="15" ht="19" customHeight="1">
      <c r="A15" s="7" t="n">
        <v>2</v>
      </c>
      <c r="B15" s="8" t="inlineStr">
        <is>
          <t>Монтаж</t>
        </is>
      </c>
      <c r="C15" s="7" t="n">
        <v>1</v>
      </c>
      <c r="D15" s="7" t="inlineStr">
        <is>
          <t>усл.</t>
        </is>
      </c>
      <c r="E15" s="9" t="n">
        <v>49000</v>
      </c>
      <c r="F15" s="9">
        <f>IF(OR(C15="",E15=""),"",C15*E15)</f>
        <v/>
      </c>
    </row>
    <row r="16" ht="19" customHeight="1">
      <c r="A16" s="7" t="n">
        <v>3</v>
      </c>
      <c r="B16" s="8" t="inlineStr">
        <is>
          <t>Расходный материал для котла</t>
        </is>
      </c>
      <c r="C16" s="7" t="n">
        <v>1</v>
      </c>
      <c r="D16" s="7" t="inlineStr">
        <is>
          <t>компл.</t>
        </is>
      </c>
      <c r="E16" s="9" t="n">
        <v>13000</v>
      </c>
      <c r="F16" s="9">
        <f>IF(OR(C16="",E16=""),"",C16*E16)</f>
        <v/>
      </c>
    </row>
    <row r="17" ht="19" customHeight="1">
      <c r="A17" s="7" t="n">
        <v>4</v>
      </c>
      <c r="B17" s="8" t="inlineStr">
        <is>
          <t>Отверстия, 2 шт</t>
        </is>
      </c>
      <c r="C17" s="7" t="n">
        <v>1</v>
      </c>
      <c r="D17" s="7" t="inlineStr">
        <is>
          <t>компл.</t>
        </is>
      </c>
      <c r="E17" s="9" t="n">
        <v>19000</v>
      </c>
      <c r="F17" s="9">
        <f>IF(OR(C17="",E17=""),"",C17*E17)</f>
        <v/>
      </c>
    </row>
    <row r="18" ht="19" customHeight="1">
      <c r="A18" s="7" t="n">
        <v>5</v>
      </c>
      <c r="B18" s="8" t="inlineStr">
        <is>
          <t>Монтаж воздуховодов</t>
        </is>
      </c>
      <c r="C18" s="7" t="n">
        <v>1</v>
      </c>
      <c r="D18" s="7" t="inlineStr">
        <is>
          <t>усл.</t>
        </is>
      </c>
      <c r="E18" s="9" t="n">
        <v>16000</v>
      </c>
      <c r="F18" s="9">
        <f>IF(OR(C18="",E18=""),"",C18*E18)</f>
        <v/>
      </c>
    </row>
    <row r="19" ht="19" customHeight="1">
      <c r="A19" s="7" t="n">
        <v>6</v>
      </c>
      <c r="B19" s="8" t="inlineStr">
        <is>
          <t>Материал</t>
        </is>
      </c>
      <c r="C19" s="7" t="n">
        <v>1</v>
      </c>
      <c r="D19" s="7" t="inlineStr">
        <is>
          <t>компл.</t>
        </is>
      </c>
      <c r="E19" s="9" t="n">
        <v>18000</v>
      </c>
      <c r="F19" s="9">
        <f>IF(OR(C19="",E19=""),"",C19*E19)</f>
        <v/>
      </c>
    </row>
    <row r="20" ht="19" customHeight="1">
      <c r="A20" s="7" t="n">
        <v>7</v>
      </c>
      <c r="B20" s="8" t="inlineStr">
        <is>
          <t>Доставка материала</t>
        </is>
      </c>
      <c r="C20" s="7" t="n">
        <v>1</v>
      </c>
      <c r="D20" s="7" t="inlineStr">
        <is>
          <t>усл.</t>
        </is>
      </c>
      <c r="E20" s="9" t="n">
        <v>7000</v>
      </c>
      <c r="F20" s="9">
        <f>IF(OR(C20="",E20=""),"",C20*E20)</f>
        <v/>
      </c>
    </row>
    <row r="21" ht="19" customHeight="1">
      <c r="A21" s="7" t="n">
        <v>8</v>
      </c>
      <c r="B21" s="8" t="n"/>
      <c r="C21" s="7" t="n"/>
      <c r="D21" s="7" t="n"/>
      <c r="E21" s="9" t="n"/>
      <c r="F21" s="9">
        <f>IF(OR(C21="",E21=""),"",C21*E21)</f>
        <v/>
      </c>
    </row>
    <row r="22" ht="19" customHeight="1">
      <c r="A22" s="7" t="n">
        <v>9</v>
      </c>
      <c r="B22" s="8" t="n"/>
      <c r="C22" s="7" t="n"/>
      <c r="D22" s="7" t="n"/>
      <c r="E22" s="9" t="n"/>
      <c r="F22" s="9">
        <f>IF(OR(C22="",E22=""),"",C22*E22)</f>
        <v/>
      </c>
    </row>
    <row r="23" ht="19" customHeight="1">
      <c r="A23" s="7" t="n">
        <v>10</v>
      </c>
      <c r="B23" s="8" t="n"/>
      <c r="C23" s="7" t="n"/>
      <c r="D23" s="7" t="n"/>
      <c r="E23" s="9" t="n"/>
      <c r="F23" s="9">
        <f>IF(OR(C23="",E23=""),"",C23*E23)</f>
        <v/>
      </c>
    </row>
    <row r="24" ht="19" customHeight="1">
      <c r="A24" s="7" t="n">
        <v>11</v>
      </c>
      <c r="B24" s="8" t="n"/>
      <c r="C24" s="7" t="n"/>
      <c r="D24" s="7" t="n"/>
      <c r="E24" s="9" t="n"/>
      <c r="F24" s="9">
        <f>IF(OR(C24="",E24=""),"",C24*E24)</f>
        <v/>
      </c>
    </row>
    <row r="25" ht="19" customHeight="1">
      <c r="A25" s="7" t="n">
        <v>12</v>
      </c>
      <c r="B25" s="8" t="n"/>
      <c r="C25" s="7" t="n"/>
      <c r="D25" s="7" t="n"/>
      <c r="E25" s="9" t="n"/>
      <c r="F25" s="9">
        <f>IF(OR(C25="",E25=""),"",C25*E25)</f>
        <v/>
      </c>
    </row>
    <row r="26" ht="19" customHeight="1">
      <c r="A26" s="7" t="n">
        <v>13</v>
      </c>
      <c r="B26" s="8" t="n"/>
      <c r="C26" s="7" t="n"/>
      <c r="D26" s="7" t="n"/>
      <c r="E26" s="9" t="n"/>
      <c r="F26" s="9">
        <f>IF(OR(C26="",E26=""),"",C26*E26)</f>
        <v/>
      </c>
    </row>
    <row r="27" ht="19" customHeight="1">
      <c r="A27" s="7" t="n">
        <v>14</v>
      </c>
      <c r="B27" s="8" t="n"/>
      <c r="C27" s="7" t="n"/>
      <c r="D27" s="7" t="n"/>
      <c r="E27" s="9" t="n"/>
      <c r="F27" s="9">
        <f>IF(OR(C27="",E27=""),"",C27*E27)</f>
        <v/>
      </c>
    </row>
    <row r="28" ht="19" customHeight="1">
      <c r="A28" s="7" t="n">
        <v>15</v>
      </c>
      <c r="B28" s="8" t="n"/>
      <c r="C28" s="7" t="n"/>
      <c r="D28" s="7" t="n"/>
      <c r="E28" s="9" t="n"/>
      <c r="F28" s="9">
        <f>IF(OR(C28="",E28=""),"",C28*E28)</f>
        <v/>
      </c>
    </row>
    <row r="29" ht="24" customHeight="1">
      <c r="A29" s="10" t="inlineStr">
        <is>
          <t>ИТОГО</t>
        </is>
      </c>
      <c r="F29" s="11">
        <f>SUM(F14:F28)</f>
        <v/>
      </c>
    </row>
    <row r="31">
      <c r="A31" s="12" t="inlineStr">
        <is>
          <t>СРОКИ</t>
        </is>
      </c>
    </row>
    <row r="32">
      <c r="A32" s="13" t="n"/>
    </row>
    <row r="34">
      <c r="A34" s="12" t="inlineStr">
        <is>
          <t>ЧТО ВХОДИТ В СТОИМОСТЬ</t>
        </is>
      </c>
    </row>
    <row r="35">
      <c r="A35" s="13" t="n"/>
    </row>
    <row r="36"/>
    <row r="38">
      <c r="A38" s="12" t="inlineStr">
        <is>
          <t>ЧТО В СТОИМОСТЬ НЕ ВХОДИТ</t>
        </is>
      </c>
    </row>
    <row r="39">
      <c r="A39" s="13" t="n"/>
    </row>
    <row r="40"/>
    <row r="42" ht="42" customHeight="1">
      <c r="A42" s="14" t="inlineStr">
        <is>
          <t>Смета действительна 14 дней с даты составления. Окончательная стоимость фиксируется договором. Объём работ может измениться, если на объекте откроются обстоятельства, которые не были видны при осмотре, — изменения согласуются с заказчиком до начала работ.</t>
        </is>
      </c>
    </row>
    <row r="44">
      <c r="A44" s="15" t="n"/>
      <c r="E44" s="15" t="n"/>
    </row>
    <row r="45">
      <c r="A45" s="2" t="inlineStr">
        <is>
          <t>Исполнитель — ООО «ИнженерИнвест»</t>
        </is>
      </c>
      <c r="E45" s="2" t="inlineStr">
        <is>
          <t>Заказчик</t>
        </is>
      </c>
    </row>
  </sheetData>
  <mergeCells count="17">
    <mergeCell ref="A2:F2"/>
    <mergeCell ref="A29:E29"/>
    <mergeCell ref="B7:F7"/>
    <mergeCell ref="A42:F42"/>
    <mergeCell ref="B6:F6"/>
    <mergeCell ref="A44:C44"/>
    <mergeCell ref="B10:F10"/>
    <mergeCell ref="A1:F1"/>
    <mergeCell ref="B11:F11"/>
    <mergeCell ref="A32:F32"/>
    <mergeCell ref="A35:F36"/>
    <mergeCell ref="A4:F4"/>
    <mergeCell ref="B8:F8"/>
    <mergeCell ref="A3:F3"/>
    <mergeCell ref="B9:F9"/>
    <mergeCell ref="A39:F40"/>
    <mergeCell ref="E44:F4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2026-10-01T09:09:18Z</dcterms:created>
  <dcterms:modified xsi:type="dcterms:W3CDTF">2026-10-01T09:09:18Z</dcterms:modified>
</cp:coreProperties>
</file>