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  <sheet name="Расходы" sheetId="2" state="visible" r:id="rId2"/>
    <sheet name="Итоги" sheetId="3" state="visible" r:id="rId3"/>
    <sheet name="Как заполнят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A21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20" customWidth="1" min="5" max="5"/>
    <col width="16" customWidth="1" min="6" max="6"/>
    <col width="14" customWidth="1" min="7" max="7"/>
  </cols>
  <sheetData>
    <row r="1" ht="30" customHeight="1">
      <c r="A1" s="1" t="inlineStr">
        <is>
          <t>Дата</t>
        </is>
      </c>
      <c r="B1" s="1" t="inlineStr">
        <is>
          <t>Источник</t>
        </is>
      </c>
      <c r="C1" s="1" t="inlineStr">
        <is>
          <t>Чей бизнес</t>
        </is>
      </c>
      <c r="D1" s="1" t="inlineStr">
        <is>
          <t>Что спрашивал</t>
        </is>
      </c>
      <c r="E1" s="1" t="inlineStr">
        <is>
          <t>Контакт</t>
        </is>
      </c>
      <c r="F1" s="1" t="inlineStr">
        <is>
          <t>Стал клиентом</t>
        </is>
      </c>
      <c r="G1" s="1" t="inlineStr">
        <is>
          <t>Сумма, ₽</t>
        </is>
      </c>
    </row>
    <row r="2">
      <c r="A2" s="2" t="inlineStr">
        <is>
          <t>25.09.2026</t>
        </is>
      </c>
      <c r="B2" s="2" t="inlineStr">
        <is>
          <t>Авито</t>
        </is>
      </c>
      <c r="C2" s="2" t="inlineStr">
        <is>
          <t>Муж, септики</t>
        </is>
      </c>
      <c r="D2" s="2" t="inlineStr">
        <is>
          <t>Пример строки — сотрите</t>
        </is>
      </c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</sheetData>
  <dataValidations count="2">
    <dataValidation sqref="B2:B2000" showDropDown="0" showInputMessage="0" showErrorMessage="0" allowBlank="1" type="list">
      <formula1>"Авито,Яндекс.Директ,Звонок,Сайт,Сарафан,Телеграм,Другое"</formula1>
    </dataValidation>
    <dataValidation sqref="F2:F2000" showDropDown="0" showInputMessage="0" showErrorMessage="0" allowBlank="1" type="list">
      <formula1>"да,нет,думает"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4" customWidth="1" min="4" max="4"/>
    <col width="22" customWidth="1" min="5" max="5"/>
    <col width="40" customWidth="1" min="6" max="6"/>
  </cols>
  <sheetData>
    <row r="1" ht="30" customHeight="1">
      <c r="A1" s="1" t="inlineStr">
        <is>
          <t>Дата</t>
        </is>
      </c>
      <c r="B1" s="1" t="inlineStr">
        <is>
          <t>Канал</t>
        </is>
      </c>
      <c r="C1" s="1" t="inlineStr">
        <is>
          <t>Чей бизнес</t>
        </is>
      </c>
      <c r="D1" s="1" t="inlineStr">
        <is>
          <t>Сумма, ₽</t>
        </is>
      </c>
      <c r="E1" s="1" t="inlineStr">
        <is>
          <t>За какой период</t>
        </is>
      </c>
      <c r="F1" s="1" t="inlineStr">
        <is>
          <t>Примечание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</sheetData>
  <dataValidations count="1">
    <dataValidation sqref="B2:B2000" showDropDown="0" showInputMessage="0" showErrorMessage="0" allowBlank="1" type="list">
      <formula1>"Авито,Яндекс.Директ,Домен,Хостинг,Другое"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3" t="inlineStr">
        <is>
          <t>Считается само, ничего вписывать не надо</t>
        </is>
      </c>
      <c r="B1" s="3" t="n"/>
    </row>
    <row r="2">
      <c r="A2" s="3" t="inlineStr"/>
      <c r="B2" s="3" t="n"/>
    </row>
    <row r="3">
      <c r="A3" s="3" t="inlineStr">
        <is>
          <t>Всего заявок</t>
        </is>
      </c>
      <c r="B3" s="3">
        <f>COUNTA(Заявки!A2:A2000)</f>
        <v/>
      </c>
    </row>
    <row r="4">
      <c r="A4" s="3" t="inlineStr">
        <is>
          <t xml:space="preserve">  из них Авито</t>
        </is>
      </c>
      <c r="B4" s="3">
        <f>COUNTIF(Заявки!B2:B2000;"Авито")</f>
        <v/>
      </c>
    </row>
    <row r="5">
      <c r="A5" s="3" t="inlineStr">
        <is>
          <t xml:space="preserve">  из них Яндекс.Директ</t>
        </is>
      </c>
      <c r="B5" s="3">
        <f>COUNTIF(Заявки!B2:B2000;"Яндекс.Директ")</f>
        <v/>
      </c>
    </row>
    <row r="6">
      <c r="A6" s="3" t="inlineStr">
        <is>
          <t xml:space="preserve">  из них звонки</t>
        </is>
      </c>
      <c r="B6" s="3">
        <f>COUNTIF(Заявки!B2:B2000;"Звонок")</f>
        <v/>
      </c>
    </row>
    <row r="7">
      <c r="A7" s="3" t="inlineStr">
        <is>
          <t xml:space="preserve">  из них сарафан</t>
        </is>
      </c>
      <c r="B7" s="3">
        <f>COUNTIF(Заявки!B2:B2000;"Сарафан")</f>
        <v/>
      </c>
    </row>
    <row r="8">
      <c r="A8" s="3" t="inlineStr"/>
      <c r="B8" s="3" t="n"/>
    </row>
    <row r="9">
      <c r="A9" s="3" t="inlineStr">
        <is>
          <t>Стали клиентами</t>
        </is>
      </c>
      <c r="B9" s="3">
        <f>COUNTIF(Заявки!F2:F2000;"да")</f>
        <v/>
      </c>
    </row>
    <row r="10">
      <c r="A10" s="3" t="inlineStr">
        <is>
          <t>Выручка, ₽</t>
        </is>
      </c>
      <c r="B10" s="3">
        <f>SUM(Заявки!G2:G2000)</f>
        <v/>
      </c>
    </row>
    <row r="11">
      <c r="A11" s="3" t="inlineStr"/>
      <c r="B11" s="3" t="n"/>
    </row>
    <row r="12">
      <c r="A12" s="3" t="inlineStr">
        <is>
          <t>Потрачено на рекламу, ₽</t>
        </is>
      </c>
      <c r="B12" s="3">
        <f>SUM(Расходы!D2:D2000)</f>
        <v/>
      </c>
    </row>
    <row r="13">
      <c r="A13" s="3" t="inlineStr">
        <is>
          <t xml:space="preserve">  Авито</t>
        </is>
      </c>
      <c r="B13" s="3">
        <f>SUMIF(Расходы!B2:B2000;"Авито";Расходы!D2:D2000)</f>
        <v/>
      </c>
    </row>
    <row r="14">
      <c r="A14" s="3" t="inlineStr">
        <is>
          <t xml:space="preserve">  Яндекс.Директ</t>
        </is>
      </c>
      <c r="B14" s="3">
        <f>SUMIF(Расходы!B2:B2000;"Яндекс.Директ";Расходы!D2:D2000)</f>
        <v/>
      </c>
    </row>
    <row r="15">
      <c r="A15" s="3" t="inlineStr"/>
      <c r="B15" s="3" t="n"/>
    </row>
    <row r="16">
      <c r="A16" s="4" t="inlineStr">
        <is>
          <t>ЦЕНА ЗАЯВКИ, ₽</t>
        </is>
      </c>
      <c r="B16" s="4">
        <f>IFERROR(SUM(Расходы!D2:D2000)/COUNTA(Заявки!A2:A2000);"—")</f>
        <v/>
      </c>
    </row>
    <row r="17">
      <c r="A17" s="4" t="inlineStr">
        <is>
          <t>ЦЕНА КЛИЕНТА, ₽</t>
        </is>
      </c>
      <c r="B17" s="4">
        <f>IFERROR(SUM(Расходы!D2:D2000)/COUNTIF(Заявки!F2:F2000;"да");"—")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Зачем эта таблица</t>
        </is>
      </c>
    </row>
    <row r="2">
      <c r="A2" s="3" t="inlineStr"/>
    </row>
    <row r="3">
      <c r="A3" s="3" t="inlineStr">
        <is>
          <t>Чтобы знать, сколько стоит одна заявка и одна продажа. Это главное число,</t>
        </is>
      </c>
    </row>
    <row r="4">
      <c r="A4" s="3" t="inlineStr">
        <is>
          <t>которым вы будете продавать свою работу другим монтажникам.</t>
        </is>
      </c>
    </row>
    <row r="5">
      <c r="A5" s="3" t="inlineStr">
        <is>
          <t>Сейчас его нет: Метрика видит только часть, звонки не считает никто,</t>
        </is>
      </c>
    </row>
    <row r="6">
      <c r="A6" s="4" t="inlineStr">
        <is>
          <t>Авито живёт отдельно.</t>
        </is>
      </c>
    </row>
    <row r="7">
      <c r="A7" s="3" t="inlineStr"/>
    </row>
    <row r="8">
      <c r="A8" s="4" t="inlineStr">
        <is>
          <t>Что делать каждый день</t>
        </is>
      </c>
    </row>
    <row r="9">
      <c r="A9" s="3" t="inlineStr"/>
    </row>
    <row r="10">
      <c r="A10" s="3" t="inlineStr">
        <is>
          <t>1. Пришла заявка — строка на листе «Заявки». Дата, откуда пришла, о чём спрашивал.</t>
        </is>
      </c>
    </row>
    <row r="11">
      <c r="A11" s="3" t="inlineStr">
        <is>
          <t xml:space="preserve">   Источник выбирается из списка, вручную писать не надо.</t>
        </is>
      </c>
    </row>
    <row r="12">
      <c r="A12" s="3" t="inlineStr">
        <is>
          <t>2. Договорились о работе — в столбце «Стал клиентом» ставите «да» и пишете сумму.</t>
        </is>
      </c>
    </row>
    <row r="13">
      <c r="A13" s="3" t="inlineStr">
        <is>
          <t>3. Пополнили рекламу — строка на листе «Расходы».</t>
        </is>
      </c>
    </row>
    <row r="14">
      <c r="A14" s="3" t="inlineStr"/>
    </row>
    <row r="15">
      <c r="A15" s="3" t="inlineStr">
        <is>
          <t>На листе «Итоги» всё считается само. Смотреть туда раз в неделю.</t>
        </is>
      </c>
    </row>
    <row r="16">
      <c r="A16" s="3" t="inlineStr"/>
    </row>
    <row r="17">
      <c r="A17" s="4" t="inlineStr">
        <is>
          <t>Правила, без которых таблица бесполезна</t>
        </is>
      </c>
    </row>
    <row r="18">
      <c r="A18" s="3" t="inlineStr"/>
    </row>
    <row r="19">
      <c r="A19" s="3" t="inlineStr">
        <is>
          <t>— Записывать в тот же день. Через неделю вы не вспомните, откуда пришёл человек.</t>
        </is>
      </c>
    </row>
    <row r="20">
      <c r="A20" s="3" t="inlineStr">
        <is>
          <t>— Спрашивать «откуда вы меня нашли», если непонятно. Это одна фраза в разговоре.</t>
        </is>
      </c>
    </row>
    <row r="21">
      <c r="A21" s="3" t="inlineStr">
        <is>
          <t>— Не округлять и не приукрашивать. Таблица нужна вам, а не для отчёта.</t>
        </is>
      </c>
    </row>
    <row r="22">
      <c r="A22" s="3" t="inlineStr">
        <is>
          <t>— Вести месяц без пропусков. Месяц с дырами хуже, чем две недели подряд.</t>
        </is>
      </c>
    </row>
    <row r="23">
      <c r="A23" s="3" t="inlineStr"/>
    </row>
    <row r="24">
      <c r="A24" s="4" t="inlineStr">
        <is>
          <t>Если вести файл неудобно</t>
        </is>
      </c>
    </row>
    <row r="25">
      <c r="A25" s="3" t="inlineStr"/>
    </row>
    <row r="26">
      <c r="A26" s="3" t="inlineStr">
        <is>
          <t>Пишите в блокнот или в «Избранное» в телеграме — и раз в неделю присылайте мне.</t>
        </is>
      </c>
    </row>
    <row r="27">
      <c r="A27" s="3" t="inlineStr">
        <is>
          <t>Я перенесу в таблицу сама. Главное — чтобы записи были, а где они лежат, не важно.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2026-09-25T13:16:57Z</dcterms:created>
  <dcterms:modified xsi:type="dcterms:W3CDTF">2026-09-25T13:16:57Z</dcterms:modified>
</cp:coreProperties>
</file>